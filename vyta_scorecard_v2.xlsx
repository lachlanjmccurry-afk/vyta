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Distress Indicators" sheetId="3" state="visible" r:id="rId5"/>
    <sheet name="Viability Indicators" sheetId="4" state="visible" r:id="rId6"/>
    <sheet name="Outcome Matrix" sheetId="5" state="visible" r:id="rId7"/>
    <sheet name="Owner Questions" sheetId="6" state="visible" r:id="rId8"/>
    <sheet name="Open Item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<sst xmlns="http://schemas.openxmlformats.org/spreadsheetml/2006/main" count="362" uniqueCount="271">
  <si>
    <t xml:space="preserve">Vyta Distress Scorecard – v2</t>
  </si>
  <si>
    <t xml:space="preserve">Updated 9 October 2026 with feedback from Patrick (Elevon). For use in the Vyta prototype build.</t>
  </si>
  <si>
    <t xml:space="preserve">What changed from v1</t>
  </si>
  <si>
    <t xml:space="preserve">• The scorecard now produces TWO scores instead of one: a Distress score (how much trouble now) and a Viability score (would the business make money if the cash problem were fixed). This reflects Patrick's main point: balance sheet issues are symptoms, and a profitable business with legacy debt can usually be saved.</t>
  </si>
  <si>
    <t xml:space="preserve">• New distress indicators: bank debt growth, facility utilisation, trade creditors split from ATO and bank, debtor collection trend, 'sales up, cash down', operating cash flow ratio, debt-to-asset ratio.</t>
  </si>
  <si>
    <t xml:space="preserve">• New viability indicators: equity ratio, gross margin and trend, overhead vs gross profit, underlying profit margin, revenue trend, pipeline coverage, long-term asset coverage.</t>
  </si>
  <si>
    <t xml:space="preserve">• Owner questionnaire added for red flags that never appear in the accounts (statutory demands, customer, competitive advantage).</t>
  </si>
  <si>
    <t xml:space="preserve">• Kept from v1: creditor days over 90 (Red), ATO debt rising 3 months in a row (Red), under 3 months of cash runway (Red).</t>
  </si>
  <si>
    <t xml:space="preserve">How the scoring works</t>
  </si>
  <si>
    <t xml:space="preserve">1. Each indicator is rated Green, Amber or Red against its thresholds.</t>
  </si>
  <si>
    <t xml:space="preserve">2. Distress points: Red 100, Amber 50, Green 0. Viability points: Green 100, Amber 50, Red 0.</t>
  </si>
  <si>
    <t xml:space="preserve">3. Each score is the weighted average of its indicators (0–100). Indicators with no data are excluded, not counted as zero.</t>
  </si>
  <si>
    <t xml:space="preserve">4. Scores are banded (Low/Moderate/High distress; Strong/Uncertain/Weak viability) and mapped to a pathway on the Outcome Matrix.</t>
  </si>
  <si>
    <t xml:space="preserve">5. An unpaid statutory demand (Owner Questions) forces Distress = High.</t>
  </si>
  <si>
    <t xml:space="preserve">Sheets</t>
  </si>
  <si>
    <t xml:space="preserve">Summary – scores, bands and indicative pathway for the example business.</t>
  </si>
  <si>
    <t xml:space="preserve">Distress Indicators / Viability Indicators – the full spec: calculation, Xero source, thresholds, weights, evidence and status.</t>
  </si>
  <si>
    <t xml:space="preserve">Outcome Matrix – the 3×3 grid of pathways.</t>
  </si>
  <si>
    <t xml:space="preserve">Owner Questions – non-Xero questions.</t>
  </si>
  <si>
    <t xml:space="preserve">Open Items – what still needs confirming with Patrick and Rick.</t>
  </si>
  <si>
    <t xml:space="preserve">Colour legend</t>
  </si>
  <si>
    <t xml:space="preserve">Blue text = editable inputs (thresholds, weights, band cut-offs). Yellow fill = example values to change when testing a scenario. Black = formulas – don't edit.</t>
  </si>
  <si>
    <t xml:space="preserve">Important</t>
  </si>
  <si>
    <t xml:space="preserve">Thresholds are working assumptions from the v1 draft and Patrick's feedback, not industry-calibrated benchmarks. Outputs are indicative early-warning signals, not an insolvency determination or professional advice.</t>
  </si>
  <si>
    <t xml:space="preserve">Scorecard Summary</t>
  </si>
  <si>
    <t xml:space="preserve">Results for the example business (edit the yellow cells on the indicator sheets to test other scenarios).</t>
  </si>
  <si>
    <t xml:space="preserve">Result</t>
  </si>
  <si>
    <t xml:space="preserve">Value</t>
  </si>
  <si>
    <t xml:space="preserve">Distress score (0–100, higher = worse)</t>
  </si>
  <si>
    <t xml:space="preserve">Viability score (0–100, higher = better)</t>
  </si>
  <si>
    <t xml:space="preserve">Statutory demand received? (Yes/No) – from owner</t>
  </si>
  <si>
    <t xml:space="preserve">No</t>
  </si>
  <si>
    <t xml:space="preserve">Override: an unpaid statutory demand forces Distress = High.</t>
  </si>
  <si>
    <t xml:space="preserve">Distress band</t>
  </si>
  <si>
    <t xml:space="preserve">Viability band</t>
  </si>
  <si>
    <t xml:space="preserve">Indicative pathway</t>
  </si>
  <si>
    <t xml:space="preserve">Band thresholds (editable)</t>
  </si>
  <si>
    <t xml:space="preserve">Distress: Moderate from</t>
  </si>
  <si>
    <t xml:space="preserve">Distress: High from</t>
  </si>
  <si>
    <t xml:space="preserve">Viability: Strong from</t>
  </si>
  <si>
    <t xml:space="preserve">Viability: Uncertain from</t>
  </si>
  <si>
    <t xml:space="preserve">Indicator count</t>
  </si>
  <si>
    <t xml:space="preserve">Distress indicators at Red</t>
  </si>
  <si>
    <t xml:space="preserve">Distress indicators at Amber</t>
  </si>
  <si>
    <t xml:space="preserve">Viability indicators at Red</t>
  </si>
  <si>
    <t xml:space="preserve">Viability indicators at Amber</t>
  </si>
  <si>
    <t xml:space="preserve">Example business: a profitable operator (42% gross margin, 9% underlying margin, revenue +12%) with ATO debt rising 4 months running, tight liquidity and under 3 months of cash. This is the profile Patrick says is worth saving.</t>
  </si>
  <si>
    <t xml:space="preserve">Distress Indicators</t>
  </si>
  <si>
    <t xml:space="preserve">How much financial trouble is the business in right now? (from Xero data)</t>
  </si>
  <si>
    <t xml:space="preserve">ID</t>
  </si>
  <si>
    <t xml:space="preserve">Indicator</t>
  </si>
  <si>
    <t xml:space="preserve">What it tells you</t>
  </si>
  <si>
    <t xml:space="preserve">Calculation</t>
  </si>
  <si>
    <t xml:space="preserve">Xero data source</t>
  </si>
  <si>
    <t xml:space="preserve">Direction</t>
  </si>
  <si>
    <t xml:space="preserve">Amber at</t>
  </si>
  <si>
    <t xml:space="preserve">Red at</t>
  </si>
  <si>
    <t xml:space="preserve">Weight</t>
  </si>
  <si>
    <t xml:space="preserve">Evidence</t>
  </si>
  <si>
    <t xml:space="preserve">Status</t>
  </si>
  <si>
    <t xml:space="preserve">Example value</t>
  </si>
  <si>
    <t xml:space="preserve">Points</t>
  </si>
  <si>
    <t xml:space="preserve">Weighted</t>
  </si>
  <si>
    <t xml:space="preserve">D1</t>
  </si>
  <si>
    <t xml:space="preserve">Current ratio</t>
  </si>
  <si>
    <t xml:space="preserve">Can short-term assets cover short-term debts? Patrick's 'cashables' test.</t>
  </si>
  <si>
    <t xml:space="preserve">Current assets ÷ current liabilities</t>
  </si>
  <si>
    <t xml:space="preserve">Balance Sheet report</t>
  </si>
  <si>
    <t xml:space="preserve">Lower is worse</t>
  </si>
  <si>
    <t xml:space="preserve">Patrick Q1, Q8</t>
  </si>
  <si>
    <t xml:space="preserve">Rick to confirm formula</t>
  </si>
  <si>
    <t xml:space="preserve">D2</t>
  </si>
  <si>
    <t xml:space="preserve">Quick ratio</t>
  </si>
  <si>
    <t xml:space="preserve">Same test using only cash and debtors (the truly 'cashable' items).</t>
  </si>
  <si>
    <t xml:space="preserve">(Cash + trade debtors) ÷ current liabilities</t>
  </si>
  <si>
    <t xml:space="preserve">Patrick Q1, Q2</t>
  </si>
  <si>
    <t xml:space="preserve">D3</t>
  </si>
  <si>
    <t xml:space="preserve">Cash runway (months)</t>
  </si>
  <si>
    <t xml:space="preserve">How long the cash lasts at the current burn rate.</t>
  </si>
  <si>
    <t xml:space="preserve">Cash ÷ average monthly net cash outflow (last 3 months)</t>
  </si>
  <si>
    <t xml:space="preserve">Bank transactions / Bank Summary</t>
  </si>
  <si>
    <t xml:space="preserve">Original draft</t>
  </si>
  <si>
    <t xml:space="preserve">Confirmed (draft threshold)</t>
  </si>
  <si>
    <t xml:space="preserve">D4</t>
  </si>
  <si>
    <t xml:space="preserve">ATO debt: consecutive months rising</t>
  </si>
  <si>
    <t xml:space="preserve">ATO arrears are the clearest early symptom of a cash problem.</t>
  </si>
  <si>
    <t xml:space="preserve">Count of consecutive month-ends where ATO liabilities (GST, PAYG, ICA) increased</t>
  </si>
  <si>
    <t xml:space="preserve">Balance Sheet by month (ATO liability accounts)</t>
  </si>
  <si>
    <t xml:space="preserve">Higher is worse</t>
  </si>
  <si>
    <t xml:space="preserve">Patrick Q4, Q7; original draft</t>
  </si>
  <si>
    <t xml:space="preserve">Threshold to confirm ('ATO definitely')</t>
  </si>
  <si>
    <t xml:space="preserve">D5</t>
  </si>
  <si>
    <t xml:space="preserve">Bank debt growth (6 months)</t>
  </si>
  <si>
    <t xml:space="preserve">Growing debt facilities used to plug cash gaps.</t>
  </si>
  <si>
    <t xml:space="preserve">% change in loans + overdraft balances over 6 months</t>
  </si>
  <si>
    <t xml:space="preserve">Balance Sheet by month (loan/overdraft accounts)</t>
  </si>
  <si>
    <t xml:space="preserve">Patrick Q2, Q4, Q7</t>
  </si>
  <si>
    <t xml:space="preserve">New from Patrick</t>
  </si>
  <si>
    <t xml:space="preserve">D6</t>
  </si>
  <si>
    <t xml:space="preserve">Facility utilisation</t>
  </si>
  <si>
    <t xml:space="preserve">Extended or maxed-out bank limits.</t>
  </si>
  <si>
    <t xml:space="preserve">Overdraft/facility drawn ÷ approved limit</t>
  </si>
  <si>
    <t xml:space="preserve">Balance from Xero; limit entered manually</t>
  </si>
  <si>
    <t xml:space="preserve">Patrick Q7</t>
  </si>
  <si>
    <t xml:space="preserve">D7</t>
  </si>
  <si>
    <t xml:space="preserve">Trade creditor days</t>
  </si>
  <si>
    <t xml:space="preserve">How slowly suppliers are being paid.</t>
  </si>
  <si>
    <t xml:space="preserve">Trade payables ÷ (COGS + operating expenses) × 365</t>
  </si>
  <si>
    <t xml:space="preserve">Aged Payables + P&amp;L</t>
  </si>
  <si>
    <t xml:space="preserve">Patrick Q1; original draft</t>
  </si>
  <si>
    <t xml:space="preserve">D8</t>
  </si>
  <si>
    <t xml:space="preserve">Trade creditors &gt;90 days overdue</t>
  </si>
  <si>
    <t xml:space="preserve">Creditors well past due, separate from ATO and bank.</t>
  </si>
  <si>
    <t xml:space="preserve">Payables &gt;90 days overdue ÷ total trade payables</t>
  </si>
  <si>
    <t xml:space="preserve">Aged Payables report</t>
  </si>
  <si>
    <t xml:space="preserve">Patrick Q1, Q4, Q7</t>
  </si>
  <si>
    <t xml:space="preserve">D9</t>
  </si>
  <si>
    <t xml:space="preserve">Debtor days trend (3 months)</t>
  </si>
  <si>
    <t xml:space="preserve">A growing collection problem.</t>
  </si>
  <si>
    <t xml:space="preserve">Change in debtor days vs 3 months ago</t>
  </si>
  <si>
    <t xml:space="preserve">Aged Receivables + P&amp;L</t>
  </si>
  <si>
    <t xml:space="preserve">Patrick Q1</t>
  </si>
  <si>
    <t xml:space="preserve">D10</t>
  </si>
  <si>
    <t xml:space="preserve">Debtors &gt;90 days overdue</t>
  </si>
  <si>
    <t xml:space="preserve">Customers not paying, and the question of why.</t>
  </si>
  <si>
    <t xml:space="preserve">Receivables &gt;90 days overdue ÷ total receivables</t>
  </si>
  <si>
    <t xml:space="preserve">Aged Receivables report</t>
  </si>
  <si>
    <t xml:space="preserve">D11</t>
  </si>
  <si>
    <t xml:space="preserve">Sales up, cash down</t>
  </si>
  <si>
    <t xml:space="preserve">Revenue rising while cash falls: cash is leaking somewhere.</t>
  </si>
  <si>
    <t xml:space="preserve">Consecutive months where rolling 3-month revenue rose and cash balance fell</t>
  </si>
  <si>
    <t xml:space="preserve">P&amp;L by month + Bank balances</t>
  </si>
  <si>
    <t xml:space="preserve">Patrick Q8</t>
  </si>
  <si>
    <t xml:space="preserve">D12</t>
  </si>
  <si>
    <t xml:space="preserve">Operating cash flow ratio</t>
  </si>
  <si>
    <t xml:space="preserve">Is the business generating enough cash from operations to meet short-term debts?</t>
  </si>
  <si>
    <t xml:space="preserve">Operating cash flow (last 12 months) ÷ current liabilities</t>
  </si>
  <si>
    <t xml:space="preserve">Bank transactions / cash flow derived</t>
  </si>
  <si>
    <t xml:space="preserve">D13</t>
  </si>
  <si>
    <t xml:space="preserve">Debt-to-asset ratio</t>
  </si>
  <si>
    <t xml:space="preserve">How much of the business is funded by debt.</t>
  </si>
  <si>
    <t xml:space="preserve">Total liabilities ÷ total assets</t>
  </si>
  <si>
    <t xml:space="preserve">Total weight</t>
  </si>
  <si>
    <t xml:space="preserve">Score</t>
  </si>
  <si>
    <t xml:space="preserve">Direction: 'Higher is worse' turns Amber/Red when the value is at or above the threshold; 'Lower is worse' when at or below. Blank example value = 'No data' and is excluded from the score.</t>
  </si>
  <si>
    <t xml:space="preserve">Points: Red 100 / Amber 50 / Green 0 (higher score = more distress).</t>
  </si>
  <si>
    <t xml:space="preserve">Viability Indicators</t>
  </si>
  <si>
    <t xml:space="preserve">If the cash problem were fixed, would the business make money? (Patrick's core test)</t>
  </si>
  <si>
    <t xml:space="preserve">V1</t>
  </si>
  <si>
    <t xml:space="preserve">Equity ratio</t>
  </si>
  <si>
    <t xml:space="preserve">Is there any value left in the business?</t>
  </si>
  <si>
    <t xml:space="preserve">Net assets ÷ total assets</t>
  </si>
  <si>
    <t xml:space="preserve">V2</t>
  </si>
  <si>
    <t xml:space="preserve">Gross margin</t>
  </si>
  <si>
    <t xml:space="preserve">Is there enough margin to fund overheads and fix the balance sheet?</t>
  </si>
  <si>
    <t xml:space="preserve">Gross profit ÷ revenue (last 12 months)</t>
  </si>
  <si>
    <t xml:space="preserve">P&amp;L report</t>
  </si>
  <si>
    <t xml:space="preserve">Patrick Q5, Q6</t>
  </si>
  <si>
    <t xml:space="preserve">Threshold varies by industry</t>
  </si>
  <si>
    <t xml:space="preserve">V3</t>
  </si>
  <si>
    <t xml:space="preserve">Gross margin trend (12 months)</t>
  </si>
  <si>
    <t xml:space="preserve">Is margin improving or eroding?</t>
  </si>
  <si>
    <t xml:space="preserve">Gross margin now minus gross margin 12 months ago (percentage points)</t>
  </si>
  <si>
    <t xml:space="preserve">P&amp;L by month</t>
  </si>
  <si>
    <t xml:space="preserve">Patrick Q5</t>
  </si>
  <si>
    <t xml:space="preserve">V4</t>
  </si>
  <si>
    <t xml:space="preserve">Overhead ÷ gross profit</t>
  </si>
  <si>
    <t xml:space="preserve">Is the overhead too big for the operation? Could it survive smaller?</t>
  </si>
  <si>
    <t xml:space="preserve">Operating expenses ÷ gross profit</t>
  </si>
  <si>
    <t xml:space="preserve">Patrick Q4, Q5</t>
  </si>
  <si>
    <t xml:space="preserve">V5</t>
  </si>
  <si>
    <t xml:space="preserve">Underlying profit margin</t>
  </si>
  <si>
    <t xml:space="preserve">'If I fixed the cash problem, does the business make money?'</t>
  </si>
  <si>
    <t xml:space="preserve">(Net profit + interest + depreciation + one-off/legacy costs) ÷ revenue</t>
  </si>
  <si>
    <t xml:space="preserve">P&amp;L report (adjustments flagged manually)</t>
  </si>
  <si>
    <t xml:space="preserve">Patrick Q1, Q3, Q5</t>
  </si>
  <si>
    <t xml:space="preserve">New from Patrick (core test)</t>
  </si>
  <si>
    <t xml:space="preserve">V6</t>
  </si>
  <si>
    <t xml:space="preserve">Revenue trend (12 months)</t>
  </si>
  <si>
    <t xml:space="preserve">Is demand growing or shrinking?</t>
  </si>
  <si>
    <t xml:space="preserve">% change in rolling 12-month revenue</t>
  </si>
  <si>
    <t xml:space="preserve">V7</t>
  </si>
  <si>
    <t xml:space="preserve">Pipeline coverage</t>
  </si>
  <si>
    <t xml:space="preserve">Lead indicator: what does the order book look like?</t>
  </si>
  <si>
    <t xml:space="preserve">Open quotes value ÷ average monthly revenue</t>
  </si>
  <si>
    <t xml:space="preserve">Xero Quotes (often incomplete)</t>
  </si>
  <si>
    <t xml:space="preserve">Patrick Q2</t>
  </si>
  <si>
    <t xml:space="preserve">New from Patrick (data often patchy)</t>
  </si>
  <si>
    <t xml:space="preserve">V8</t>
  </si>
  <si>
    <t xml:space="preserve">Long-term asset coverage</t>
  </si>
  <si>
    <t xml:space="preserve">Asset backing for funders: strong asset coverage = fundable.</t>
  </si>
  <si>
    <t xml:space="preserve">Non-current assets ÷ non-current liabilities</t>
  </si>
  <si>
    <t xml:space="preserve">Points: Green 100 / Amber 50 / Red 0 (higher score = more viable).</t>
  </si>
  <si>
    <t xml:space="preserve">Outcome Matrix</t>
  </si>
  <si>
    <t xml:space="preserve">Distress band × Viability band → indicative pathway. Indicative only, not an insolvency determination.</t>
  </si>
  <si>
    <t xml:space="preserve">Distress ↓ / Viability →</t>
  </si>
  <si>
    <t xml:space="preserve">Strong</t>
  </si>
  <si>
    <t xml:space="preserve">Uncertain</t>
  </si>
  <si>
    <t xml:space="preserve">Weak</t>
  </si>
  <si>
    <t xml:space="preserve">Low</t>
  </si>
  <si>
    <t xml:space="preserve">Healthy. Monitor quarterly.</t>
  </si>
  <si>
    <t xml:space="preserve">Performance review: margin, pricing and overhead improvements.</t>
  </si>
  <si>
    <t xml:space="preserve">Structural concern: fix the business model before cash runs out.</t>
  </si>
  <si>
    <t xml:space="preserve">Moderate</t>
  </si>
  <si>
    <t xml:space="preserve">Early intervention: working capital fix, refinance, ATO payment plan.</t>
  </si>
  <si>
    <t xml:space="preserve">Turnaround review: where has the cash been going?</t>
  </si>
  <si>
    <t xml:space="preserve">Serious: restructure or plan an orderly exit.</t>
  </si>
  <si>
    <t xml:space="preserve">High</t>
  </si>
  <si>
    <t xml:space="preserve">RESTRUCTURE CANDIDATE: SBR, VA or safe harbour. Profitable business with legacy balance sheet issues. Priority lead for advisory firms.</t>
  </si>
  <si>
    <t xml:space="preserve">Urgent advice: assess restructure vs liquidation.</t>
  </si>
  <si>
    <t xml:space="preserve">Likely liquidation / exit pathway (CVL, sale of business).</t>
  </si>
  <si>
    <t xml:space="preserve">Why two scores: Patrick's view is that balance sheet problems are symptoms. 'A business that is profitable but has legacy balance sheet issues is usually a business that can be saved.' (Q5)</t>
  </si>
  <si>
    <t xml:space="preserve">Owner Questions</t>
  </si>
  <si>
    <t xml:space="preserve">Red flags that never show up in Xero. Asked of the owner (or their advisor) alongside the data scores.</t>
  </si>
  <si>
    <t xml:space="preserve">#</t>
  </si>
  <si>
    <t xml:space="preserve">Question</t>
  </si>
  <si>
    <t xml:space="preserve">Why it matters</t>
  </si>
  <si>
    <t xml:space="preserve">Feeds into</t>
  </si>
  <si>
    <t xml:space="preserve">Source</t>
  </si>
  <si>
    <t xml:space="preserve">Has the business received a statutory demand (or legal letter of demand) in the last 6 months?</t>
  </si>
  <si>
    <t xml:space="preserve">An unpaid statutory demand is a formal insolvency trigger. Overrides the distress band.</t>
  </si>
  <si>
    <t xml:space="preserve">Distress (override)</t>
  </si>
  <si>
    <t xml:space="preserve">Is the business behind on any bank loan repayments, or has the bank extended or increased limits recently?</t>
  </si>
  <si>
    <t xml:space="preserve">Bank arrears and extended limits were key signals Patrick taught bankers to watch.</t>
  </si>
  <si>
    <t xml:space="preserve">Distress</t>
  </si>
  <si>
    <t xml:space="preserve">Is there an ATO payment plan in place, and is it being met?</t>
  </si>
  <si>
    <t xml:space="preserve">Separates managed ATO debt from unmanaged arrears.</t>
  </si>
  <si>
    <t xml:space="preserve">Patrick Q4, Q7</t>
  </si>
  <si>
    <t xml:space="preserve">Who is your customer, and what problem do you solve for them?</t>
  </si>
  <si>
    <t xml:space="preserve">No clear customer and problem = no underlying business to save.</t>
  </si>
  <si>
    <t xml:space="preserve">Viability</t>
  </si>
  <si>
    <t xml:space="preserve">Patrick Q6</t>
  </si>
  <si>
    <t xml:space="preserve">What is your sustainable competitive advantage? If you don't have one, could you get one?</t>
  </si>
  <si>
    <t xml:space="preserve">Patrick's core test for whether a business is worth backing.</t>
  </si>
  <si>
    <t xml:space="preserve">If the cash problem were fixed tomorrow, would the business make money? Why?</t>
  </si>
  <si>
    <t xml:space="preserve">The owner's view on underlying profitability, tested against V5.</t>
  </si>
  <si>
    <t xml:space="preserve">Patrick Q1, Q5</t>
  </si>
  <si>
    <t xml:space="preserve">Where has the cash been going over the last 12 months?</t>
  </si>
  <si>
    <t xml:space="preserve">Balance sheet issues are symptoms. Need to understand the cause.</t>
  </si>
  <si>
    <t xml:space="preserve">Both</t>
  </si>
  <si>
    <t xml:space="preserve">Patrick Q3</t>
  </si>
  <si>
    <t xml:space="preserve">Could the business operate with a smaller overhead? What would you cut?</t>
  </si>
  <si>
    <t xml:space="preserve">Tests the overhead lever (V4).</t>
  </si>
  <si>
    <t xml:space="preserve">Patrick Q4</t>
  </si>
  <si>
    <t xml:space="preserve">What does the pipeline, work in progress or order book look like for the next 3 months?</t>
  </si>
  <si>
    <t xml:space="preserve">Lead indicator often missing from Xero.</t>
  </si>
  <si>
    <t xml:space="preserve">Is the business capital-intensive with thin margins, or carrying a large fixed overhead?</t>
  </si>
  <si>
    <t xml:space="preserve">Patrick: stay away from businesses that can't make money regardless of what you do.</t>
  </si>
  <si>
    <t xml:space="preserve">Open Items</t>
  </si>
  <si>
    <t xml:space="preserve">Follow-up with Patrick and Rick before locking v3.</t>
  </si>
  <si>
    <t xml:space="preserve">Item</t>
  </si>
  <si>
    <t xml:space="preserve">Who</t>
  </si>
  <si>
    <t xml:space="preserve">Affects</t>
  </si>
  <si>
    <t xml:space="preserve">Preferred short-term liquidity formula (current vs quick ratio, and what counts as 'cashable')</t>
  </si>
  <si>
    <t xml:space="preserve">Rick</t>
  </si>
  <si>
    <t xml:space="preserve">D1, D2</t>
  </si>
  <si>
    <t xml:space="preserve">Open</t>
  </si>
  <si>
    <t xml:space="preserve">Cash flow ratio formula Rick uses</t>
  </si>
  <si>
    <t xml:space="preserve">Which balance sheet movements Rick looks for ('Rick has some gold here')</t>
  </si>
  <si>
    <t xml:space="preserve">New indicators</t>
  </si>
  <si>
    <t xml:space="preserve">Industry ratio benchmarks Rick used for businesses he oversaw</t>
  </si>
  <si>
    <t xml:space="preserve">All thresholds, especially V2</t>
  </si>
  <si>
    <t xml:space="preserve">Put the 'profitable but legacy balance sheet issues' test into words / a formula</t>
  </si>
  <si>
    <t xml:space="preserve">V5, Outcome Matrix</t>
  </si>
  <si>
    <t xml:space="preserve">'ATO definitely' (Q4): is the 3-months-rising ATO threshold too harsh or too soft?</t>
  </si>
  <si>
    <t xml:space="preserve">Patrick</t>
  </si>
  <si>
    <t xml:space="preserve">Q8 commercial question: would Elevon pay to see flagged businesses early, and roughly how much?</t>
  </si>
  <si>
    <t xml:space="preserve">Business model</t>
  </si>
  <si>
    <t xml:space="preserve">Large sporting sponsorships by non-national companies as a red flag</t>
  </si>
  <si>
    <t xml:space="preserve">Parked – not built</t>
  </si>
  <si>
    <t xml:space="preserve">Parked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</si>
</sst>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General"/>
    <numFmt numFmtId="168" formatCode="0"/>
    <numFmt numFmtId="169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EF3F8"/>
      </patternFill>
    </fill>
    <fill>
      <patternFill patternType="solid">
        <fgColor rgb="FFEEF3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90000"/>
      </font>
      <fill>
        <patternFill>
          <bgColor rgb="FFF4CCCC"/>
        </patternFill>
      </fill>
    </dxf>
    <dxf>
      <font>
        <name val="Arial"/>
        <charset val="1"/>
        <family val="0"/>
        <b val="1"/>
        <color rgb="FFB45F06"/>
      </font>
      <fill>
        <patternFill>
          <bgColor rgb="FFFCE5CD"/>
        </patternFill>
      </fill>
    </dxf>
    <dxf>
      <font>
        <name val="Arial"/>
        <charset val="1"/>
        <family val="0"/>
        <b val="1"/>
        <color rgb="FF274E13"/>
      </font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3F8"/>
      <rgbColor rgb="FF660066"/>
      <rgbColor rgb="FFFF8080"/>
      <rgbColor rgb="FF0066CC"/>
      <rgbColor rgb="FFC9D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274E13"/>
      <rgbColor rgb="FFB45F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</row>
    <row r="6" customFormat="false" ht="27.75" hidden="false" customHeight="true" outlineLevel="0" collapsed="false">
      <c r="A6" s="4" t="s">
        <v>4</v>
      </c>
    </row>
    <row r="7" customFormat="false" ht="27.75" hidden="false" customHeight="true" outlineLevel="0" collapsed="false">
      <c r="A7" s="4" t="s">
        <v>5</v>
      </c>
    </row>
    <row r="8" customFormat="false" ht="27.75" hidden="false" customHeight="true" outlineLevel="0" collapsed="false">
      <c r="A8" s="4" t="s">
        <v>6</v>
      </c>
    </row>
    <row r="9" customFormat="false" ht="27.75" hidden="false" customHeight="true" outlineLevel="0" collapsed="false">
      <c r="A9" s="4" t="s">
        <v>7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27.75" hidden="false" customHeight="true" outlineLevel="0" collapsed="false">
      <c r="A14" s="4" t="s">
        <v>11</v>
      </c>
    </row>
    <row r="15" customFormat="false" ht="27.75" hidden="false" customHeight="tru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4" t="s">
        <v>15</v>
      </c>
    </row>
    <row r="20" customFormat="false" ht="27.75" hidden="false" customHeight="tru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4" t="s">
        <v>19</v>
      </c>
    </row>
    <row r="24" customFormat="false" ht="15" hidden="false" customHeight="false" outlineLevel="0" collapsed="false">
      <c r="A24" s="4"/>
    </row>
    <row r="25" customFormat="false" ht="15" hidden="false" customHeight="false" outlineLevel="0" collapsed="false">
      <c r="A25" s="3" t="s">
        <v>20</v>
      </c>
    </row>
    <row r="26" customFormat="false" ht="27.75" hidden="false" customHeight="true" outlineLevel="0" collapsed="false">
      <c r="A26" s="4" t="s">
        <v>21</v>
      </c>
    </row>
    <row r="27" customFormat="false" ht="15" hidden="false" customHeight="false" outlineLevel="0" collapsed="false">
      <c r="A27" s="4"/>
    </row>
    <row r="28" customFormat="false" ht="15" hidden="false" customHeight="false" outlineLevel="0" collapsed="false">
      <c r="A28" s="3" t="s">
        <v>22</v>
      </c>
    </row>
    <row r="29" customFormat="false" ht="27.75" hidden="false" customHeight="true" outlineLevel="0" collapsed="false">
      <c r="A29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0"/>
    <col collapsed="false" customWidth="true" hidden="false" outlineLevel="0" max="3" min="3" style="0" width="48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5" t="s">
        <v>26</v>
      </c>
      <c r="B4" s="5" t="s">
        <v>27</v>
      </c>
    </row>
    <row r="5" customFormat="false" ht="15" hidden="false" customHeight="false" outlineLevel="0" collapsed="false">
      <c r="A5" s="6" t="s">
        <v>28</v>
      </c>
      <c r="B5" s="7" t="n">
        <f aca="false">'Distress Indicators'!O18</f>
        <v>68</v>
      </c>
      <c r="C5" s="8"/>
    </row>
    <row r="6" customFormat="false" ht="15" hidden="false" customHeight="false" outlineLevel="0" collapsed="false">
      <c r="A6" s="6" t="s">
        <v>29</v>
      </c>
      <c r="B6" s="7" t="n">
        <f aca="false">'Viability Indicators'!O13</f>
        <v>87.5</v>
      </c>
      <c r="C6" s="8"/>
    </row>
    <row r="7" customFormat="false" ht="23.85" hidden="false" customHeight="false" outlineLevel="0" collapsed="false">
      <c r="A7" s="8" t="s">
        <v>30</v>
      </c>
      <c r="B7" s="9" t="s">
        <v>31</v>
      </c>
      <c r="C7" s="8" t="s">
        <v>32</v>
      </c>
    </row>
    <row r="8" customFormat="false" ht="15" hidden="false" customHeight="false" outlineLevel="0" collapsed="false">
      <c r="A8" s="6" t="s">
        <v>33</v>
      </c>
      <c r="B8" s="6" t="str">
        <f aca="false">IF(B7="Yes","High",IF(B5&gt;=$B$14,"High",IF(B5&gt;=$B$13,"Moderate","Low")))</f>
        <v>High</v>
      </c>
      <c r="C8" s="8"/>
    </row>
    <row r="9" customFormat="false" ht="15" hidden="false" customHeight="false" outlineLevel="0" collapsed="false">
      <c r="A9" s="6" t="s">
        <v>34</v>
      </c>
      <c r="B9" s="6" t="str">
        <f aca="false">IF(B6&gt;=$B$16,"Strong",IF(B6&gt;=$B$17,"Uncertain","Weak"))</f>
        <v>Strong</v>
      </c>
      <c r="C9" s="8"/>
    </row>
    <row r="10" customFormat="false" ht="48" hidden="false" customHeight="true" outlineLevel="0" collapsed="false">
      <c r="A10" s="6" t="s">
        <v>35</v>
      </c>
      <c r="B10" s="10" t="str">
        <f aca="false">INDEX('Outcome Matrix'!$B$5:$D$7,MATCH(B8,'Outcome Matrix'!$A$5:$A$7,0),MATCH(B9,'Outcome Matrix'!$B$4:$D$4,0))</f>
        <v>RESTRUCTURE CANDIDATE: SBR, VA or safe harbour. Profitable business with legacy balance sheet issues. Priority lead for advisory firms.</v>
      </c>
      <c r="C10" s="8"/>
    </row>
    <row r="11" customFormat="false" ht="15" hidden="false" customHeight="false" outlineLevel="0" collapsed="false">
      <c r="A11" s="8"/>
      <c r="B11" s="8"/>
      <c r="C11" s="8"/>
    </row>
    <row r="12" customFormat="false" ht="15" hidden="false" customHeight="false" outlineLevel="0" collapsed="false">
      <c r="A12" s="11" t="s">
        <v>36</v>
      </c>
      <c r="B12" s="8"/>
      <c r="C12" s="8"/>
    </row>
    <row r="13" customFormat="false" ht="15" hidden="false" customHeight="false" outlineLevel="0" collapsed="false">
      <c r="A13" s="8" t="s">
        <v>37</v>
      </c>
      <c r="B13" s="12" t="n">
        <v>30</v>
      </c>
      <c r="C13" s="8"/>
    </row>
    <row r="14" customFormat="false" ht="15" hidden="false" customHeight="false" outlineLevel="0" collapsed="false">
      <c r="A14" s="8" t="s">
        <v>38</v>
      </c>
      <c r="B14" s="12" t="n">
        <v>60</v>
      </c>
      <c r="C14" s="8"/>
    </row>
    <row r="15" customFormat="false" ht="15" hidden="false" customHeight="false" outlineLevel="0" collapsed="false">
      <c r="A15" s="8"/>
      <c r="B15" s="8"/>
      <c r="C15" s="8"/>
    </row>
    <row r="16" customFormat="false" ht="15" hidden="false" customHeight="false" outlineLevel="0" collapsed="false">
      <c r="A16" s="8" t="s">
        <v>39</v>
      </c>
      <c r="B16" s="12" t="n">
        <v>65</v>
      </c>
      <c r="C16" s="8"/>
    </row>
    <row r="17" customFormat="false" ht="15" hidden="false" customHeight="false" outlineLevel="0" collapsed="false">
      <c r="A17" s="8" t="s">
        <v>40</v>
      </c>
      <c r="B17" s="12" t="n">
        <v>40</v>
      </c>
      <c r="C17" s="8"/>
    </row>
    <row r="18" customFormat="false" ht="15" hidden="false" customHeight="false" outlineLevel="0" collapsed="false">
      <c r="A18" s="8"/>
      <c r="B18" s="8"/>
      <c r="C18" s="8"/>
    </row>
    <row r="19" customFormat="false" ht="15" hidden="false" customHeight="false" outlineLevel="0" collapsed="false">
      <c r="A19" s="11" t="s">
        <v>41</v>
      </c>
      <c r="B19" s="8"/>
      <c r="C19" s="8"/>
    </row>
    <row r="20" customFormat="false" ht="15" hidden="false" customHeight="false" outlineLevel="0" collapsed="false">
      <c r="A20" s="8" t="s">
        <v>42</v>
      </c>
      <c r="B20" s="8" t="n">
        <f aca="false">COUNTIF('Distress Indicators'!M5:M17,"Red")</f>
        <v>5</v>
      </c>
      <c r="C20" s="8"/>
    </row>
    <row r="21" customFormat="false" ht="15" hidden="false" customHeight="false" outlineLevel="0" collapsed="false">
      <c r="A21" s="8" t="s">
        <v>43</v>
      </c>
      <c r="B21" s="8" t="n">
        <f aca="false">COUNTIF('Distress Indicators'!M5:M17,"Amber")</f>
        <v>6</v>
      </c>
      <c r="C21" s="8"/>
    </row>
    <row r="22" customFormat="false" ht="15" hidden="false" customHeight="false" outlineLevel="0" collapsed="false">
      <c r="A22" s="8" t="s">
        <v>44</v>
      </c>
      <c r="B22" s="8" t="n">
        <f aca="false">COUNTIF('Viability Indicators'!M5:M12,"Red")</f>
        <v>0</v>
      </c>
      <c r="C22" s="8"/>
    </row>
    <row r="23" customFormat="false" ht="15" hidden="false" customHeight="false" outlineLevel="0" collapsed="false">
      <c r="A23" s="8" t="s">
        <v>45</v>
      </c>
      <c r="B23" s="8" t="n">
        <f aca="false">COUNTIF('Viability Indicators'!M5:M12,"Amber")</f>
        <v>2</v>
      </c>
      <c r="C23" s="8"/>
    </row>
    <row r="25" customFormat="false" ht="30" hidden="false" customHeight="true" outlineLevel="0" collapsed="false">
      <c r="A25" s="13" t="s">
        <v>46</v>
      </c>
      <c r="B25" s="13"/>
      <c r="C25" s="13"/>
    </row>
    <row r="26" customFormat="false" ht="15" hidden="false" customHeight="false" outlineLevel="0" collapsed="false">
      <c r="A26" s="13"/>
      <c r="B26" s="13"/>
      <c r="C26" s="13"/>
    </row>
  </sheetData>
  <mergeCells count="1">
    <mergeCell ref="A25:C26"/>
  </mergeCells>
  <dataValidations count="1">
    <dataValidation allowBlank="false" errorStyle="stop" operator="between" showDropDown="false" showErrorMessage="false" showInputMessage="false" sqref="B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40"/>
    <col collapsed="false" customWidth="true" hidden="false" outlineLevel="0" max="5" min="5" style="0" width="28"/>
    <col collapsed="false" customWidth="true" hidden="false" outlineLevel="0" max="6" min="6" style="0" width="15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</cols>
  <sheetData>
    <row r="1" customFormat="false" ht="19.7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30" hidden="false" customHeight="true" outlineLevel="0" collapsed="false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  <c r="G4" s="5" t="s">
        <v>55</v>
      </c>
      <c r="H4" s="5" t="s">
        <v>56</v>
      </c>
      <c r="I4" s="5" t="s">
        <v>57</v>
      </c>
      <c r="J4" s="5" t="s">
        <v>58</v>
      </c>
      <c r="K4" s="5" t="s">
        <v>59</v>
      </c>
      <c r="L4" s="5" t="s">
        <v>60</v>
      </c>
      <c r="M4" s="5" t="s">
        <v>26</v>
      </c>
      <c r="N4" s="5" t="s">
        <v>61</v>
      </c>
      <c r="O4" s="5" t="s">
        <v>62</v>
      </c>
    </row>
    <row r="5" customFormat="false" ht="23.85" hidden="false" customHeight="false" outlineLevel="0" collapsed="false">
      <c r="A5" s="6" t="s">
        <v>63</v>
      </c>
      <c r="B5" s="6" t="s">
        <v>64</v>
      </c>
      <c r="C5" s="14" t="s">
        <v>65</v>
      </c>
      <c r="D5" s="14" t="s">
        <v>66</v>
      </c>
      <c r="E5" s="14" t="s">
        <v>67</v>
      </c>
      <c r="F5" s="15" t="s">
        <v>68</v>
      </c>
      <c r="G5" s="16" t="n">
        <v>1.2</v>
      </c>
      <c r="H5" s="16" t="n">
        <v>1</v>
      </c>
      <c r="I5" s="17" t="n">
        <v>8</v>
      </c>
      <c r="J5" s="14" t="s">
        <v>69</v>
      </c>
      <c r="K5" s="14" t="s">
        <v>70</v>
      </c>
      <c r="L5" s="18" t="n">
        <v>0.85</v>
      </c>
      <c r="M5" s="15" t="str">
        <f aca="false">IF(L5="","No data",IF(F5="Higher is worse",IF(L5&gt;=H5,"Red",IF(L5&gt;=G5,"Amber","Green")),IF(L5&lt;=H5,"Red",IF(L5&lt;=G5,"Amber","Green"))))</f>
        <v>Red</v>
      </c>
      <c r="N5" s="19" t="n">
        <f aca="false">IF(M5="Red",100,IF(M5="Amber",50,0))</f>
        <v>100</v>
      </c>
      <c r="O5" s="20" t="n">
        <f aca="false">IF(M5="No data",0,I5*N5/100)</f>
        <v>8</v>
      </c>
    </row>
    <row r="6" customFormat="false" ht="23.85" hidden="false" customHeight="false" outlineLevel="0" collapsed="false">
      <c r="A6" s="21" t="s">
        <v>71</v>
      </c>
      <c r="B6" s="21" t="s">
        <v>72</v>
      </c>
      <c r="C6" s="22" t="s">
        <v>73</v>
      </c>
      <c r="D6" s="22" t="s">
        <v>74</v>
      </c>
      <c r="E6" s="22" t="s">
        <v>67</v>
      </c>
      <c r="F6" s="23" t="s">
        <v>68</v>
      </c>
      <c r="G6" s="24" t="n">
        <v>1</v>
      </c>
      <c r="H6" s="24" t="n">
        <v>0.7</v>
      </c>
      <c r="I6" s="25" t="n">
        <v>8</v>
      </c>
      <c r="J6" s="22" t="s">
        <v>75</v>
      </c>
      <c r="K6" s="22" t="s">
        <v>70</v>
      </c>
      <c r="L6" s="18" t="n">
        <v>0.6</v>
      </c>
      <c r="M6" s="15" t="str">
        <f aca="false">IF(L6="","No data",IF(F6="Higher is worse",IF(L6&gt;=H6,"Red",IF(L6&gt;=G6,"Amber","Green")),IF(L6&lt;=H6,"Red",IF(L6&lt;=G6,"Amber","Green"))))</f>
        <v>Red</v>
      </c>
      <c r="N6" s="19" t="n">
        <f aca="false">IF(M6="Red",100,IF(M6="Amber",50,0))</f>
        <v>100</v>
      </c>
      <c r="O6" s="20" t="n">
        <f aca="false">IF(M6="No data",0,I6*N6/100)</f>
        <v>8</v>
      </c>
    </row>
    <row r="7" customFormat="false" ht="23.85" hidden="false" customHeight="false" outlineLevel="0" collapsed="false">
      <c r="A7" s="6" t="s">
        <v>76</v>
      </c>
      <c r="B7" s="6" t="s">
        <v>77</v>
      </c>
      <c r="C7" s="14" t="s">
        <v>78</v>
      </c>
      <c r="D7" s="14" t="s">
        <v>79</v>
      </c>
      <c r="E7" s="14" t="s">
        <v>80</v>
      </c>
      <c r="F7" s="15" t="s">
        <v>68</v>
      </c>
      <c r="G7" s="26" t="n">
        <v>6</v>
      </c>
      <c r="H7" s="26" t="n">
        <v>3</v>
      </c>
      <c r="I7" s="17" t="n">
        <v>10</v>
      </c>
      <c r="J7" s="14" t="s">
        <v>81</v>
      </c>
      <c r="K7" s="14" t="s">
        <v>82</v>
      </c>
      <c r="L7" s="27" t="n">
        <v>2.5</v>
      </c>
      <c r="M7" s="15" t="str">
        <f aca="false">IF(L7="","No data",IF(F7="Higher is worse",IF(L7&gt;=H7,"Red",IF(L7&gt;=G7,"Amber","Green")),IF(L7&lt;=H7,"Red",IF(L7&lt;=G7,"Amber","Green"))))</f>
        <v>Red</v>
      </c>
      <c r="N7" s="19" t="n">
        <f aca="false">IF(M7="Red",100,IF(M7="Amber",50,0))</f>
        <v>100</v>
      </c>
      <c r="O7" s="20" t="n">
        <f aca="false">IF(M7="No data",0,I7*N7/100)</f>
        <v>10</v>
      </c>
    </row>
    <row r="8" customFormat="false" ht="23.85" hidden="false" customHeight="false" outlineLevel="0" collapsed="false">
      <c r="A8" s="21" t="s">
        <v>83</v>
      </c>
      <c r="B8" s="21" t="s">
        <v>84</v>
      </c>
      <c r="C8" s="22" t="s">
        <v>85</v>
      </c>
      <c r="D8" s="22" t="s">
        <v>86</v>
      </c>
      <c r="E8" s="22" t="s">
        <v>87</v>
      </c>
      <c r="F8" s="23" t="s">
        <v>88</v>
      </c>
      <c r="G8" s="28" t="n">
        <v>2</v>
      </c>
      <c r="H8" s="28" t="n">
        <v>3</v>
      </c>
      <c r="I8" s="25" t="n">
        <v>12</v>
      </c>
      <c r="J8" s="22" t="s">
        <v>89</v>
      </c>
      <c r="K8" s="22" t="s">
        <v>90</v>
      </c>
      <c r="L8" s="29" t="n">
        <v>4</v>
      </c>
      <c r="M8" s="15" t="str">
        <f aca="false">IF(L8="","No data",IF(F8="Higher is worse",IF(L8&gt;=H8,"Red",IF(L8&gt;=G8,"Amber","Green")),IF(L8&lt;=H8,"Red",IF(L8&lt;=G8,"Amber","Green"))))</f>
        <v>Red</v>
      </c>
      <c r="N8" s="19" t="n">
        <f aca="false">IF(M8="Red",100,IF(M8="Amber",50,0))</f>
        <v>100</v>
      </c>
      <c r="O8" s="20" t="n">
        <f aca="false">IF(M8="No data",0,I8*N8/100)</f>
        <v>12</v>
      </c>
    </row>
    <row r="9" customFormat="false" ht="23.85" hidden="false" customHeight="false" outlineLevel="0" collapsed="false">
      <c r="A9" s="6" t="s">
        <v>91</v>
      </c>
      <c r="B9" s="6" t="s">
        <v>92</v>
      </c>
      <c r="C9" s="14" t="s">
        <v>93</v>
      </c>
      <c r="D9" s="14" t="s">
        <v>94</v>
      </c>
      <c r="E9" s="14" t="s">
        <v>95</v>
      </c>
      <c r="F9" s="15" t="s">
        <v>88</v>
      </c>
      <c r="G9" s="30" t="n">
        <v>0.1</v>
      </c>
      <c r="H9" s="30" t="n">
        <v>0.25</v>
      </c>
      <c r="I9" s="17" t="n">
        <v>7</v>
      </c>
      <c r="J9" s="14" t="s">
        <v>96</v>
      </c>
      <c r="K9" s="14" t="s">
        <v>97</v>
      </c>
      <c r="L9" s="31" t="n">
        <v>0.18</v>
      </c>
      <c r="M9" s="15" t="str">
        <f aca="false">IF(L9="","No data",IF(F9="Higher is worse",IF(L9&gt;=H9,"Red",IF(L9&gt;=G9,"Amber","Green")),IF(L9&lt;=H9,"Red",IF(L9&lt;=G9,"Amber","Green"))))</f>
        <v>Amber</v>
      </c>
      <c r="N9" s="19" t="n">
        <f aca="false">IF(M9="Red",100,IF(M9="Amber",50,0))</f>
        <v>50</v>
      </c>
      <c r="O9" s="20" t="n">
        <f aca="false">IF(M9="No data",0,I9*N9/100)</f>
        <v>3.5</v>
      </c>
    </row>
    <row r="10" customFormat="false" ht="23.85" hidden="false" customHeight="false" outlineLevel="0" collapsed="false">
      <c r="A10" s="21" t="s">
        <v>98</v>
      </c>
      <c r="B10" s="21" t="s">
        <v>99</v>
      </c>
      <c r="C10" s="22" t="s">
        <v>100</v>
      </c>
      <c r="D10" s="22" t="s">
        <v>101</v>
      </c>
      <c r="E10" s="22" t="s">
        <v>102</v>
      </c>
      <c r="F10" s="23" t="s">
        <v>88</v>
      </c>
      <c r="G10" s="32" t="n">
        <v>0.85</v>
      </c>
      <c r="H10" s="32" t="n">
        <v>1</v>
      </c>
      <c r="I10" s="25" t="n">
        <v>6</v>
      </c>
      <c r="J10" s="22" t="s">
        <v>103</v>
      </c>
      <c r="K10" s="22" t="s">
        <v>97</v>
      </c>
      <c r="L10" s="31" t="n">
        <v>0.95</v>
      </c>
      <c r="M10" s="15" t="str">
        <f aca="false">IF(L10="","No data",IF(F10="Higher is worse",IF(L10&gt;=H10,"Red",IF(L10&gt;=G10,"Amber","Green")),IF(L10&lt;=H10,"Red",IF(L10&lt;=G10,"Amber","Green"))))</f>
        <v>Amber</v>
      </c>
      <c r="N10" s="19" t="n">
        <f aca="false">IF(M10="Red",100,IF(M10="Amber",50,0))</f>
        <v>50</v>
      </c>
      <c r="O10" s="20" t="n">
        <f aca="false">IF(M10="No data",0,I10*N10/100)</f>
        <v>3</v>
      </c>
    </row>
    <row r="11" customFormat="false" ht="23.85" hidden="false" customHeight="false" outlineLevel="0" collapsed="false">
      <c r="A11" s="6" t="s">
        <v>104</v>
      </c>
      <c r="B11" s="6" t="s">
        <v>105</v>
      </c>
      <c r="C11" s="14" t="s">
        <v>106</v>
      </c>
      <c r="D11" s="14" t="s">
        <v>107</v>
      </c>
      <c r="E11" s="14" t="s">
        <v>108</v>
      </c>
      <c r="F11" s="15" t="s">
        <v>88</v>
      </c>
      <c r="G11" s="33" t="n">
        <v>60</v>
      </c>
      <c r="H11" s="33" t="n">
        <v>90</v>
      </c>
      <c r="I11" s="17" t="n">
        <v>7</v>
      </c>
      <c r="J11" s="14" t="s">
        <v>109</v>
      </c>
      <c r="K11" s="14" t="s">
        <v>82</v>
      </c>
      <c r="L11" s="29" t="n">
        <v>75</v>
      </c>
      <c r="M11" s="15" t="str">
        <f aca="false">IF(L11="","No data",IF(F11="Higher is worse",IF(L11&gt;=H11,"Red",IF(L11&gt;=G11,"Amber","Green")),IF(L11&lt;=H11,"Red",IF(L11&lt;=G11,"Amber","Green"))))</f>
        <v>Amber</v>
      </c>
      <c r="N11" s="19" t="n">
        <f aca="false">IF(M11="Red",100,IF(M11="Amber",50,0))</f>
        <v>50</v>
      </c>
      <c r="O11" s="20" t="n">
        <f aca="false">IF(M11="No data",0,I11*N11/100)</f>
        <v>3.5</v>
      </c>
    </row>
    <row r="12" customFormat="false" ht="23.85" hidden="false" customHeight="false" outlineLevel="0" collapsed="false">
      <c r="A12" s="21" t="s">
        <v>110</v>
      </c>
      <c r="B12" s="21" t="s">
        <v>111</v>
      </c>
      <c r="C12" s="22" t="s">
        <v>112</v>
      </c>
      <c r="D12" s="22" t="s">
        <v>113</v>
      </c>
      <c r="E12" s="22" t="s">
        <v>114</v>
      </c>
      <c r="F12" s="23" t="s">
        <v>88</v>
      </c>
      <c r="G12" s="32" t="n">
        <v>0.15</v>
      </c>
      <c r="H12" s="32" t="n">
        <v>0.3</v>
      </c>
      <c r="I12" s="25" t="n">
        <v>7</v>
      </c>
      <c r="J12" s="22" t="s">
        <v>115</v>
      </c>
      <c r="K12" s="22" t="s">
        <v>97</v>
      </c>
      <c r="L12" s="31" t="n">
        <v>0.22</v>
      </c>
      <c r="M12" s="15" t="str">
        <f aca="false">IF(L12="","No data",IF(F12="Higher is worse",IF(L12&gt;=H12,"Red",IF(L12&gt;=G12,"Amber","Green")),IF(L12&lt;=H12,"Red",IF(L12&lt;=G12,"Amber","Green"))))</f>
        <v>Amber</v>
      </c>
      <c r="N12" s="19" t="n">
        <f aca="false">IF(M12="Red",100,IF(M12="Amber",50,0))</f>
        <v>50</v>
      </c>
      <c r="O12" s="20" t="n">
        <f aca="false">IF(M12="No data",0,I12*N12/100)</f>
        <v>3.5</v>
      </c>
    </row>
    <row r="13" customFormat="false" ht="15" hidden="false" customHeight="false" outlineLevel="0" collapsed="false">
      <c r="A13" s="6" t="s">
        <v>116</v>
      </c>
      <c r="B13" s="6" t="s">
        <v>117</v>
      </c>
      <c r="C13" s="14" t="s">
        <v>118</v>
      </c>
      <c r="D13" s="14" t="s">
        <v>119</v>
      </c>
      <c r="E13" s="14" t="s">
        <v>120</v>
      </c>
      <c r="F13" s="15" t="s">
        <v>88</v>
      </c>
      <c r="G13" s="33" t="n">
        <v>10</v>
      </c>
      <c r="H13" s="33" t="n">
        <v>20</v>
      </c>
      <c r="I13" s="17" t="n">
        <v>5</v>
      </c>
      <c r="J13" s="14" t="s">
        <v>121</v>
      </c>
      <c r="K13" s="14" t="s">
        <v>97</v>
      </c>
      <c r="L13" s="29" t="n">
        <v>6</v>
      </c>
      <c r="M13" s="15" t="str">
        <f aca="false">IF(L13="","No data",IF(F13="Higher is worse",IF(L13&gt;=H13,"Red",IF(L13&gt;=G13,"Amber","Green")),IF(L13&lt;=H13,"Red",IF(L13&lt;=G13,"Amber","Green"))))</f>
        <v>Green</v>
      </c>
      <c r="N13" s="19" t="n">
        <f aca="false">IF(M13="Red",100,IF(M13="Amber",50,0))</f>
        <v>0</v>
      </c>
      <c r="O13" s="20" t="n">
        <f aca="false">IF(M13="No data",0,I13*N13/100)</f>
        <v>0</v>
      </c>
    </row>
    <row r="14" customFormat="false" ht="23.85" hidden="false" customHeight="false" outlineLevel="0" collapsed="false">
      <c r="A14" s="21" t="s">
        <v>122</v>
      </c>
      <c r="B14" s="21" t="s">
        <v>123</v>
      </c>
      <c r="C14" s="22" t="s">
        <v>124</v>
      </c>
      <c r="D14" s="22" t="s">
        <v>125</v>
      </c>
      <c r="E14" s="22" t="s">
        <v>126</v>
      </c>
      <c r="F14" s="23" t="s">
        <v>88</v>
      </c>
      <c r="G14" s="32" t="n">
        <v>0.15</v>
      </c>
      <c r="H14" s="32" t="n">
        <v>0.25</v>
      </c>
      <c r="I14" s="25" t="n">
        <v>5</v>
      </c>
      <c r="J14" s="22" t="s">
        <v>121</v>
      </c>
      <c r="K14" s="22" t="s">
        <v>97</v>
      </c>
      <c r="L14" s="31" t="n">
        <v>0.08</v>
      </c>
      <c r="M14" s="15" t="str">
        <f aca="false">IF(L14="","No data",IF(F14="Higher is worse",IF(L14&gt;=H14,"Red",IF(L14&gt;=G14,"Amber","Green")),IF(L14&lt;=H14,"Red",IF(L14&lt;=G14,"Amber","Green"))))</f>
        <v>Green</v>
      </c>
      <c r="N14" s="19" t="n">
        <f aca="false">IF(M14="Red",100,IF(M14="Amber",50,0))</f>
        <v>0</v>
      </c>
      <c r="O14" s="20" t="n">
        <f aca="false">IF(M14="No data",0,I14*N14/100)</f>
        <v>0</v>
      </c>
    </row>
    <row r="15" customFormat="false" ht="23.85" hidden="false" customHeight="false" outlineLevel="0" collapsed="false">
      <c r="A15" s="6" t="s">
        <v>127</v>
      </c>
      <c r="B15" s="6" t="s">
        <v>128</v>
      </c>
      <c r="C15" s="14" t="s">
        <v>129</v>
      </c>
      <c r="D15" s="14" t="s">
        <v>130</v>
      </c>
      <c r="E15" s="14" t="s">
        <v>131</v>
      </c>
      <c r="F15" s="15" t="s">
        <v>88</v>
      </c>
      <c r="G15" s="33" t="n">
        <v>2</v>
      </c>
      <c r="H15" s="33" t="n">
        <v>3</v>
      </c>
      <c r="I15" s="17" t="n">
        <v>8</v>
      </c>
      <c r="J15" s="14" t="s">
        <v>132</v>
      </c>
      <c r="K15" s="14" t="s">
        <v>97</v>
      </c>
      <c r="L15" s="29" t="n">
        <v>3</v>
      </c>
      <c r="M15" s="15" t="str">
        <f aca="false">IF(L15="","No data",IF(F15="Higher is worse",IF(L15&gt;=H15,"Red",IF(L15&gt;=G15,"Amber","Green")),IF(L15&lt;=H15,"Red",IF(L15&lt;=G15,"Amber","Green"))))</f>
        <v>Red</v>
      </c>
      <c r="N15" s="19" t="n">
        <f aca="false">IF(M15="Red",100,IF(M15="Amber",50,0))</f>
        <v>100</v>
      </c>
      <c r="O15" s="20" t="n">
        <f aca="false">IF(M15="No data",0,I15*N15/100)</f>
        <v>8</v>
      </c>
    </row>
    <row r="16" customFormat="false" ht="23.85" hidden="false" customHeight="false" outlineLevel="0" collapsed="false">
      <c r="A16" s="21" t="s">
        <v>133</v>
      </c>
      <c r="B16" s="21" t="s">
        <v>134</v>
      </c>
      <c r="C16" s="22" t="s">
        <v>135</v>
      </c>
      <c r="D16" s="22" t="s">
        <v>136</v>
      </c>
      <c r="E16" s="22" t="s">
        <v>137</v>
      </c>
      <c r="F16" s="23" t="s">
        <v>68</v>
      </c>
      <c r="G16" s="24" t="n">
        <v>0.4</v>
      </c>
      <c r="H16" s="24" t="n">
        <v>0.2</v>
      </c>
      <c r="I16" s="25" t="n">
        <v>7</v>
      </c>
      <c r="J16" s="22" t="s">
        <v>121</v>
      </c>
      <c r="K16" s="22" t="s">
        <v>70</v>
      </c>
      <c r="L16" s="18" t="n">
        <v>0.25</v>
      </c>
      <c r="M16" s="15" t="str">
        <f aca="false">IF(L16="","No data",IF(F16="Higher is worse",IF(L16&gt;=H16,"Red",IF(L16&gt;=G16,"Amber","Green")),IF(L16&lt;=H16,"Red",IF(L16&lt;=G16,"Amber","Green"))))</f>
        <v>Amber</v>
      </c>
      <c r="N16" s="19" t="n">
        <f aca="false">IF(M16="Red",100,IF(M16="Amber",50,0))</f>
        <v>50</v>
      </c>
      <c r="O16" s="20" t="n">
        <f aca="false">IF(M16="No data",0,I16*N16/100)</f>
        <v>3.5</v>
      </c>
    </row>
    <row r="17" customFormat="false" ht="15" hidden="false" customHeight="false" outlineLevel="0" collapsed="false">
      <c r="A17" s="6" t="s">
        <v>138</v>
      </c>
      <c r="B17" s="6" t="s">
        <v>139</v>
      </c>
      <c r="C17" s="14" t="s">
        <v>140</v>
      </c>
      <c r="D17" s="14" t="s">
        <v>141</v>
      </c>
      <c r="E17" s="14" t="s">
        <v>67</v>
      </c>
      <c r="F17" s="15" t="s">
        <v>88</v>
      </c>
      <c r="G17" s="16" t="n">
        <v>0.7</v>
      </c>
      <c r="H17" s="16" t="n">
        <v>1</v>
      </c>
      <c r="I17" s="17" t="n">
        <v>10</v>
      </c>
      <c r="J17" s="14" t="s">
        <v>69</v>
      </c>
      <c r="K17" s="14" t="s">
        <v>97</v>
      </c>
      <c r="L17" s="18" t="n">
        <v>0.82</v>
      </c>
      <c r="M17" s="15" t="str">
        <f aca="false">IF(L17="","No data",IF(F17="Higher is worse",IF(L17&gt;=H17,"Red",IF(L17&gt;=G17,"Amber","Green")),IF(L17&lt;=H17,"Red",IF(L17&lt;=G17,"Amber","Green"))))</f>
        <v>Amber</v>
      </c>
      <c r="N17" s="19" t="n">
        <f aca="false">IF(M17="Red",100,IF(M17="Amber",50,0))</f>
        <v>50</v>
      </c>
      <c r="O17" s="20" t="n">
        <f aca="false">IF(M17="No data",0,I17*N17/100)</f>
        <v>5</v>
      </c>
    </row>
    <row r="18" customFormat="false" ht="15" hidden="false" customHeight="false" outlineLevel="0" collapsed="false">
      <c r="H18" s="34" t="s">
        <v>142</v>
      </c>
      <c r="I18" s="34" t="n">
        <f aca="false">SUM(I5:I17)</f>
        <v>100</v>
      </c>
      <c r="J18" s="35" t="str">
        <f aca="false">IF(I18=100,"OK – sums to 100","Check – should sum to 100")</f>
        <v>OK – sums to 100</v>
      </c>
      <c r="N18" s="34" t="s">
        <v>143</v>
      </c>
      <c r="O18" s="36" t="n">
        <f aca="false">IFERROR(SUM(O5:O17)/SUMPRODUCT((M5:M17&lt;&gt;"No data")*I5:I17)*100,0)</f>
        <v>68</v>
      </c>
    </row>
    <row r="20" customFormat="false" ht="15" hidden="false" customHeight="false" outlineLevel="0" collapsed="false">
      <c r="A20" s="37" t="s">
        <v>144</v>
      </c>
    </row>
    <row r="21" customFormat="false" ht="15" hidden="false" customHeight="false" outlineLevel="0" collapsed="false">
      <c r="A21" s="37" t="s">
        <v>145</v>
      </c>
    </row>
  </sheetData>
  <conditionalFormatting sqref="M5:M17">
    <cfRule type="cellIs" priority="2" operator="equal" aboveAverage="0" equalAverage="0" bottom="0" percent="0" rank="0" text="" dxfId="0">
      <formula>"Red"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"Green"</formula>
    </cfRule>
  </conditionalFormatting>
  <dataValidations count="1">
    <dataValidation allowBlank="false" errorStyle="stop" operator="between" showDropDown="false" showErrorMessage="false" showInputMessage="false" sqref="F5:F17" type="list">
      <formula1>"Higher is worse,Lower is worse"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40"/>
    <col collapsed="false" customWidth="true" hidden="false" outlineLevel="0" max="5" min="5" style="0" width="28"/>
    <col collapsed="false" customWidth="true" hidden="false" outlineLevel="0" max="6" min="6" style="0" width="15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0"/>
  </cols>
  <sheetData>
    <row r="1" customFormat="false" ht="19.7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</row>
    <row r="4" customFormat="false" ht="30" hidden="false" customHeight="true" outlineLevel="0" collapsed="false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  <c r="G4" s="5" t="s">
        <v>55</v>
      </c>
      <c r="H4" s="5" t="s">
        <v>56</v>
      </c>
      <c r="I4" s="5" t="s">
        <v>57</v>
      </c>
      <c r="J4" s="5" t="s">
        <v>58</v>
      </c>
      <c r="K4" s="5" t="s">
        <v>59</v>
      </c>
      <c r="L4" s="5" t="s">
        <v>60</v>
      </c>
      <c r="M4" s="5" t="s">
        <v>26</v>
      </c>
      <c r="N4" s="5" t="s">
        <v>61</v>
      </c>
      <c r="O4" s="5" t="s">
        <v>62</v>
      </c>
    </row>
    <row r="5" customFormat="false" ht="15" hidden="false" customHeight="false" outlineLevel="0" collapsed="false">
      <c r="A5" s="6" t="s">
        <v>148</v>
      </c>
      <c r="B5" s="6" t="s">
        <v>149</v>
      </c>
      <c r="C5" s="14" t="s">
        <v>150</v>
      </c>
      <c r="D5" s="14" t="s">
        <v>151</v>
      </c>
      <c r="E5" s="14" t="s">
        <v>67</v>
      </c>
      <c r="F5" s="15" t="s">
        <v>68</v>
      </c>
      <c r="G5" s="16" t="n">
        <v>0.2</v>
      </c>
      <c r="H5" s="16" t="n">
        <v>0</v>
      </c>
      <c r="I5" s="17" t="n">
        <v>15</v>
      </c>
      <c r="J5" s="14" t="s">
        <v>121</v>
      </c>
      <c r="K5" s="14" t="s">
        <v>97</v>
      </c>
      <c r="L5" s="18" t="n">
        <v>0.18</v>
      </c>
      <c r="M5" s="15" t="str">
        <f aca="false">IF(L5="","No data",IF(F5="Higher is worse",IF(L5&gt;=H5,"Red",IF(L5&gt;=G5,"Amber","Green")),IF(L5&lt;=H5,"Red",IF(L5&lt;=G5,"Amber","Green"))))</f>
        <v>Amber</v>
      </c>
      <c r="N5" s="19" t="n">
        <f aca="false">IF(M5="Green",100,IF(M5="Amber",50,0))</f>
        <v>50</v>
      </c>
      <c r="O5" s="20" t="n">
        <f aca="false">IF(M5="No data",0,I5*N5/100)</f>
        <v>7.5</v>
      </c>
    </row>
    <row r="6" customFormat="false" ht="23.85" hidden="false" customHeight="false" outlineLevel="0" collapsed="false">
      <c r="A6" s="21" t="s">
        <v>152</v>
      </c>
      <c r="B6" s="21" t="s">
        <v>153</v>
      </c>
      <c r="C6" s="22" t="s">
        <v>154</v>
      </c>
      <c r="D6" s="22" t="s">
        <v>155</v>
      </c>
      <c r="E6" s="22" t="s">
        <v>156</v>
      </c>
      <c r="F6" s="23" t="s">
        <v>68</v>
      </c>
      <c r="G6" s="32" t="n">
        <v>0.3</v>
      </c>
      <c r="H6" s="32" t="n">
        <v>0.15</v>
      </c>
      <c r="I6" s="25" t="n">
        <v>15</v>
      </c>
      <c r="J6" s="22" t="s">
        <v>157</v>
      </c>
      <c r="K6" s="22" t="s">
        <v>158</v>
      </c>
      <c r="L6" s="31" t="n">
        <v>0.42</v>
      </c>
      <c r="M6" s="15" t="str">
        <f aca="false">IF(L6="","No data",IF(F6="Higher is worse",IF(L6&gt;=H6,"Red",IF(L6&gt;=G6,"Amber","Green")),IF(L6&lt;=H6,"Red",IF(L6&lt;=G6,"Amber","Green"))))</f>
        <v>Green</v>
      </c>
      <c r="N6" s="19" t="n">
        <f aca="false">IF(M6="Green",100,IF(M6="Amber",50,0))</f>
        <v>100</v>
      </c>
      <c r="O6" s="20" t="n">
        <f aca="false">IF(M6="No data",0,I6*N6/100)</f>
        <v>15</v>
      </c>
    </row>
    <row r="7" customFormat="false" ht="23.85" hidden="false" customHeight="false" outlineLevel="0" collapsed="false">
      <c r="A7" s="6" t="s">
        <v>159</v>
      </c>
      <c r="B7" s="6" t="s">
        <v>160</v>
      </c>
      <c r="C7" s="14" t="s">
        <v>161</v>
      </c>
      <c r="D7" s="14" t="s">
        <v>162</v>
      </c>
      <c r="E7" s="14" t="s">
        <v>163</v>
      </c>
      <c r="F7" s="15" t="s">
        <v>68</v>
      </c>
      <c r="G7" s="30" t="n">
        <v>-0.02</v>
      </c>
      <c r="H7" s="30" t="n">
        <v>-0.05</v>
      </c>
      <c r="I7" s="17" t="n">
        <v>10</v>
      </c>
      <c r="J7" s="14" t="s">
        <v>164</v>
      </c>
      <c r="K7" s="14" t="s">
        <v>97</v>
      </c>
      <c r="L7" s="31" t="n">
        <v>0.01</v>
      </c>
      <c r="M7" s="15" t="str">
        <f aca="false">IF(L7="","No data",IF(F7="Higher is worse",IF(L7&gt;=H7,"Red",IF(L7&gt;=G7,"Amber","Green")),IF(L7&lt;=H7,"Red",IF(L7&lt;=G7,"Amber","Green"))))</f>
        <v>Green</v>
      </c>
      <c r="N7" s="19" t="n">
        <f aca="false">IF(M7="Green",100,IF(M7="Amber",50,0))</f>
        <v>100</v>
      </c>
      <c r="O7" s="20" t="n">
        <f aca="false">IF(M7="No data",0,I7*N7/100)</f>
        <v>10</v>
      </c>
    </row>
    <row r="8" customFormat="false" ht="23.85" hidden="false" customHeight="false" outlineLevel="0" collapsed="false">
      <c r="A8" s="21" t="s">
        <v>165</v>
      </c>
      <c r="B8" s="21" t="s">
        <v>166</v>
      </c>
      <c r="C8" s="22" t="s">
        <v>167</v>
      </c>
      <c r="D8" s="22" t="s">
        <v>168</v>
      </c>
      <c r="E8" s="22" t="s">
        <v>156</v>
      </c>
      <c r="F8" s="23" t="s">
        <v>88</v>
      </c>
      <c r="G8" s="32" t="n">
        <v>0.9</v>
      </c>
      <c r="H8" s="32" t="n">
        <v>1</v>
      </c>
      <c r="I8" s="25" t="n">
        <v>15</v>
      </c>
      <c r="J8" s="22" t="s">
        <v>169</v>
      </c>
      <c r="K8" s="22" t="s">
        <v>97</v>
      </c>
      <c r="L8" s="31" t="n">
        <v>0.88</v>
      </c>
      <c r="M8" s="15" t="str">
        <f aca="false">IF(L8="","No data",IF(F8="Higher is worse",IF(L8&gt;=H8,"Red",IF(L8&gt;=G8,"Amber","Green")),IF(L8&lt;=H8,"Red",IF(L8&lt;=G8,"Amber","Green"))))</f>
        <v>Green</v>
      </c>
      <c r="N8" s="19" t="n">
        <f aca="false">IF(M8="Green",100,IF(M8="Amber",50,0))</f>
        <v>100</v>
      </c>
      <c r="O8" s="20" t="n">
        <f aca="false">IF(M8="No data",0,I8*N8/100)</f>
        <v>15</v>
      </c>
    </row>
    <row r="9" customFormat="false" ht="23.85" hidden="false" customHeight="false" outlineLevel="0" collapsed="false">
      <c r="A9" s="6" t="s">
        <v>170</v>
      </c>
      <c r="B9" s="6" t="s">
        <v>171</v>
      </c>
      <c r="C9" s="14" t="s">
        <v>172</v>
      </c>
      <c r="D9" s="14" t="s">
        <v>173</v>
      </c>
      <c r="E9" s="14" t="s">
        <v>174</v>
      </c>
      <c r="F9" s="15" t="s">
        <v>68</v>
      </c>
      <c r="G9" s="30" t="n">
        <v>0.05</v>
      </c>
      <c r="H9" s="30" t="n">
        <v>0</v>
      </c>
      <c r="I9" s="17" t="n">
        <v>20</v>
      </c>
      <c r="J9" s="14" t="s">
        <v>175</v>
      </c>
      <c r="K9" s="14" t="s">
        <v>176</v>
      </c>
      <c r="L9" s="31" t="n">
        <v>0.09</v>
      </c>
      <c r="M9" s="15" t="str">
        <f aca="false">IF(L9="","No data",IF(F9="Higher is worse",IF(L9&gt;=H9,"Red",IF(L9&gt;=G9,"Amber","Green")),IF(L9&lt;=H9,"Red",IF(L9&lt;=G9,"Amber","Green"))))</f>
        <v>Green</v>
      </c>
      <c r="N9" s="19" t="n">
        <f aca="false">IF(M9="Green",100,IF(M9="Amber",50,0))</f>
        <v>100</v>
      </c>
      <c r="O9" s="20" t="n">
        <f aca="false">IF(M9="No data",0,I9*N9/100)</f>
        <v>20</v>
      </c>
    </row>
    <row r="10" customFormat="false" ht="15" hidden="false" customHeight="false" outlineLevel="0" collapsed="false">
      <c r="A10" s="21" t="s">
        <v>177</v>
      </c>
      <c r="B10" s="21" t="s">
        <v>178</v>
      </c>
      <c r="C10" s="22" t="s">
        <v>179</v>
      </c>
      <c r="D10" s="22" t="s">
        <v>180</v>
      </c>
      <c r="E10" s="22" t="s">
        <v>163</v>
      </c>
      <c r="F10" s="23" t="s">
        <v>68</v>
      </c>
      <c r="G10" s="32" t="n">
        <v>-0.05</v>
      </c>
      <c r="H10" s="32" t="n">
        <v>-0.15</v>
      </c>
      <c r="I10" s="25" t="n">
        <v>10</v>
      </c>
      <c r="J10" s="22" t="s">
        <v>164</v>
      </c>
      <c r="K10" s="22" t="s">
        <v>97</v>
      </c>
      <c r="L10" s="31" t="n">
        <v>0.12</v>
      </c>
      <c r="M10" s="15" t="str">
        <f aca="false">IF(L10="","No data",IF(F10="Higher is worse",IF(L10&gt;=H10,"Red",IF(L10&gt;=G10,"Amber","Green")),IF(L10&lt;=H10,"Red",IF(L10&lt;=G10,"Amber","Green"))))</f>
        <v>Green</v>
      </c>
      <c r="N10" s="19" t="n">
        <f aca="false">IF(M10="Green",100,IF(M10="Amber",50,0))</f>
        <v>100</v>
      </c>
      <c r="O10" s="20" t="n">
        <f aca="false">IF(M10="No data",0,I10*N10/100)</f>
        <v>10</v>
      </c>
    </row>
    <row r="11" customFormat="false" ht="23.85" hidden="false" customHeight="false" outlineLevel="0" collapsed="false">
      <c r="A11" s="6" t="s">
        <v>181</v>
      </c>
      <c r="B11" s="6" t="s">
        <v>182</v>
      </c>
      <c r="C11" s="14" t="s">
        <v>183</v>
      </c>
      <c r="D11" s="14" t="s">
        <v>184</v>
      </c>
      <c r="E11" s="14" t="s">
        <v>185</v>
      </c>
      <c r="F11" s="15" t="s">
        <v>68</v>
      </c>
      <c r="G11" s="16" t="n">
        <v>1</v>
      </c>
      <c r="H11" s="16" t="n">
        <v>0.5</v>
      </c>
      <c r="I11" s="17" t="n">
        <v>5</v>
      </c>
      <c r="J11" s="14" t="s">
        <v>186</v>
      </c>
      <c r="K11" s="14" t="s">
        <v>187</v>
      </c>
      <c r="L11" s="18" t="n">
        <v>1.4</v>
      </c>
      <c r="M11" s="15" t="str">
        <f aca="false">IF(L11="","No data",IF(F11="Higher is worse",IF(L11&gt;=H11,"Red",IF(L11&gt;=G11,"Amber","Green")),IF(L11&lt;=H11,"Red",IF(L11&lt;=G11,"Amber","Green"))))</f>
        <v>Green</v>
      </c>
      <c r="N11" s="19" t="n">
        <f aca="false">IF(M11="Green",100,IF(M11="Amber",50,0))</f>
        <v>100</v>
      </c>
      <c r="O11" s="20" t="n">
        <f aca="false">IF(M11="No data",0,I11*N11/100)</f>
        <v>5</v>
      </c>
    </row>
    <row r="12" customFormat="false" ht="23.85" hidden="false" customHeight="false" outlineLevel="0" collapsed="false">
      <c r="A12" s="21" t="s">
        <v>188</v>
      </c>
      <c r="B12" s="21" t="s">
        <v>189</v>
      </c>
      <c r="C12" s="22" t="s">
        <v>190</v>
      </c>
      <c r="D12" s="22" t="s">
        <v>191</v>
      </c>
      <c r="E12" s="22" t="s">
        <v>67</v>
      </c>
      <c r="F12" s="23" t="s">
        <v>68</v>
      </c>
      <c r="G12" s="24" t="n">
        <v>1.2</v>
      </c>
      <c r="H12" s="24" t="n">
        <v>1</v>
      </c>
      <c r="I12" s="25" t="n">
        <v>10</v>
      </c>
      <c r="J12" s="22" t="s">
        <v>132</v>
      </c>
      <c r="K12" s="22" t="s">
        <v>97</v>
      </c>
      <c r="L12" s="18" t="n">
        <v>1.1</v>
      </c>
      <c r="M12" s="15" t="str">
        <f aca="false">IF(L12="","No data",IF(F12="Higher is worse",IF(L12&gt;=H12,"Red",IF(L12&gt;=G12,"Amber","Green")),IF(L12&lt;=H12,"Red",IF(L12&lt;=G12,"Amber","Green"))))</f>
        <v>Amber</v>
      </c>
      <c r="N12" s="19" t="n">
        <f aca="false">IF(M12="Green",100,IF(M12="Amber",50,0))</f>
        <v>50</v>
      </c>
      <c r="O12" s="20" t="n">
        <f aca="false">IF(M12="No data",0,I12*N12/100)</f>
        <v>5</v>
      </c>
    </row>
    <row r="13" customFormat="false" ht="15" hidden="false" customHeight="false" outlineLevel="0" collapsed="false">
      <c r="H13" s="34" t="s">
        <v>142</v>
      </c>
      <c r="I13" s="34" t="n">
        <f aca="false">SUM(I5:I12)</f>
        <v>100</v>
      </c>
      <c r="J13" s="35" t="str">
        <f aca="false">IF(I13=100,"OK – sums to 100","Check – should sum to 100")</f>
        <v>OK – sums to 100</v>
      </c>
      <c r="N13" s="34" t="s">
        <v>143</v>
      </c>
      <c r="O13" s="36" t="n">
        <f aca="false">IFERROR(SUM(O5:O12)/SUMPRODUCT((M5:M12&lt;&gt;"No data")*I5:I12)*100,0)</f>
        <v>87.5</v>
      </c>
    </row>
    <row r="15" customFormat="false" ht="15" hidden="false" customHeight="false" outlineLevel="0" collapsed="false">
      <c r="A15" s="37" t="s">
        <v>144</v>
      </c>
    </row>
    <row r="16" customFormat="false" ht="15" hidden="false" customHeight="false" outlineLevel="0" collapsed="false">
      <c r="A16" s="37" t="s">
        <v>192</v>
      </c>
    </row>
  </sheetData>
  <conditionalFormatting sqref="M5:M12">
    <cfRule type="cellIs" priority="2" operator="equal" aboveAverage="0" equalAverage="0" bottom="0" percent="0" rank="0" text="" dxfId="0">
      <formula>"Red"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"Green"</formula>
    </cfRule>
  </conditionalFormatting>
  <dataValidations count="1">
    <dataValidation allowBlank="false" errorStyle="stop" operator="between" showDropDown="false" showErrorMessage="false" showInputMessage="false" sqref="F5:F12" type="list">
      <formula1>"Higher is worse,Lower is worse"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42"/>
  </cols>
  <sheetData>
    <row r="1" customFormat="false" ht="19.7" hidden="false" customHeight="false" outlineLevel="0" collapsed="false">
      <c r="A1" s="1" t="s">
        <v>193</v>
      </c>
    </row>
    <row r="2" customFormat="false" ht="15" hidden="false" customHeight="false" outlineLevel="0" collapsed="false">
      <c r="A2" s="2" t="s">
        <v>194</v>
      </c>
    </row>
    <row r="4" customFormat="false" ht="15" hidden="false" customHeight="false" outlineLevel="0" collapsed="false">
      <c r="A4" s="5" t="s">
        <v>195</v>
      </c>
      <c r="B4" s="5" t="s">
        <v>196</v>
      </c>
      <c r="C4" s="5" t="s">
        <v>197</v>
      </c>
      <c r="D4" s="5" t="s">
        <v>198</v>
      </c>
    </row>
    <row r="5" customFormat="false" ht="61.5" hidden="false" customHeight="true" outlineLevel="0" collapsed="false">
      <c r="A5" s="6" t="s">
        <v>199</v>
      </c>
      <c r="B5" s="14" t="s">
        <v>200</v>
      </c>
      <c r="C5" s="14" t="s">
        <v>201</v>
      </c>
      <c r="D5" s="14" t="s">
        <v>202</v>
      </c>
    </row>
    <row r="6" customFormat="false" ht="61.5" hidden="false" customHeight="true" outlineLevel="0" collapsed="false">
      <c r="A6" s="6" t="s">
        <v>203</v>
      </c>
      <c r="B6" s="14" t="s">
        <v>204</v>
      </c>
      <c r="C6" s="14" t="s">
        <v>205</v>
      </c>
      <c r="D6" s="14" t="s">
        <v>206</v>
      </c>
    </row>
    <row r="7" customFormat="false" ht="61.5" hidden="false" customHeight="true" outlineLevel="0" collapsed="false">
      <c r="A7" s="6" t="s">
        <v>207</v>
      </c>
      <c r="B7" s="10" t="s">
        <v>208</v>
      </c>
      <c r="C7" s="14" t="s">
        <v>209</v>
      </c>
      <c r="D7" s="14" t="s">
        <v>210</v>
      </c>
    </row>
    <row r="9" customFormat="false" ht="15" hidden="false" customHeight="false" outlineLevel="0" collapsed="false">
      <c r="A9" s="37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50"/>
    <col collapsed="false" customWidth="true" hidden="false" outlineLevel="0" max="5" min="4" style="0" width="16"/>
  </cols>
  <sheetData>
    <row r="1" customFormat="false" ht="19.7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">
        <v>213</v>
      </c>
    </row>
    <row r="4" customFormat="false" ht="15" hidden="false" customHeight="false" outlineLevel="0" collapsed="false">
      <c r="A4" s="5" t="s">
        <v>214</v>
      </c>
      <c r="B4" s="5" t="s">
        <v>215</v>
      </c>
      <c r="C4" s="5" t="s">
        <v>216</v>
      </c>
      <c r="D4" s="5" t="s">
        <v>217</v>
      </c>
      <c r="E4" s="5" t="s">
        <v>218</v>
      </c>
    </row>
    <row r="5" customFormat="false" ht="23.85" hidden="false" customHeight="false" outlineLevel="0" collapsed="false">
      <c r="A5" s="14" t="n">
        <v>1</v>
      </c>
      <c r="B5" s="14" t="s">
        <v>219</v>
      </c>
      <c r="C5" s="14" t="s">
        <v>220</v>
      </c>
      <c r="D5" s="14" t="s">
        <v>221</v>
      </c>
      <c r="E5" s="14" t="s">
        <v>121</v>
      </c>
    </row>
    <row r="6" customFormat="false" ht="23.85" hidden="false" customHeight="false" outlineLevel="0" collapsed="false">
      <c r="A6" s="22" t="n">
        <v>2</v>
      </c>
      <c r="B6" s="22" t="s">
        <v>222</v>
      </c>
      <c r="C6" s="22" t="s">
        <v>223</v>
      </c>
      <c r="D6" s="22" t="s">
        <v>224</v>
      </c>
      <c r="E6" s="22" t="s">
        <v>103</v>
      </c>
    </row>
    <row r="7" customFormat="false" ht="15" hidden="false" customHeight="false" outlineLevel="0" collapsed="false">
      <c r="A7" s="14" t="n">
        <v>3</v>
      </c>
      <c r="B7" s="14" t="s">
        <v>225</v>
      </c>
      <c r="C7" s="14" t="s">
        <v>226</v>
      </c>
      <c r="D7" s="14" t="s">
        <v>224</v>
      </c>
      <c r="E7" s="14" t="s">
        <v>227</v>
      </c>
    </row>
    <row r="8" customFormat="false" ht="23.85" hidden="false" customHeight="false" outlineLevel="0" collapsed="false">
      <c r="A8" s="22" t="n">
        <v>4</v>
      </c>
      <c r="B8" s="22" t="s">
        <v>228</v>
      </c>
      <c r="C8" s="22" t="s">
        <v>229</v>
      </c>
      <c r="D8" s="22" t="s">
        <v>230</v>
      </c>
      <c r="E8" s="22" t="s">
        <v>231</v>
      </c>
    </row>
    <row r="9" customFormat="false" ht="23.85" hidden="false" customHeight="false" outlineLevel="0" collapsed="false">
      <c r="A9" s="14" t="n">
        <v>5</v>
      </c>
      <c r="B9" s="14" t="s">
        <v>232</v>
      </c>
      <c r="C9" s="14" t="s">
        <v>233</v>
      </c>
      <c r="D9" s="14" t="s">
        <v>230</v>
      </c>
      <c r="E9" s="14" t="s">
        <v>231</v>
      </c>
    </row>
    <row r="10" customFormat="false" ht="23.85" hidden="false" customHeight="false" outlineLevel="0" collapsed="false">
      <c r="A10" s="22" t="n">
        <v>6</v>
      </c>
      <c r="B10" s="22" t="s">
        <v>234</v>
      </c>
      <c r="C10" s="22" t="s">
        <v>235</v>
      </c>
      <c r="D10" s="22" t="s">
        <v>230</v>
      </c>
      <c r="E10" s="22" t="s">
        <v>236</v>
      </c>
    </row>
    <row r="11" customFormat="false" ht="23.85" hidden="false" customHeight="false" outlineLevel="0" collapsed="false">
      <c r="A11" s="14" t="n">
        <v>7</v>
      </c>
      <c r="B11" s="14" t="s">
        <v>237</v>
      </c>
      <c r="C11" s="14" t="s">
        <v>238</v>
      </c>
      <c r="D11" s="14" t="s">
        <v>239</v>
      </c>
      <c r="E11" s="14" t="s">
        <v>240</v>
      </c>
    </row>
    <row r="12" customFormat="false" ht="23.85" hidden="false" customHeight="false" outlineLevel="0" collapsed="false">
      <c r="A12" s="22" t="n">
        <v>8</v>
      </c>
      <c r="B12" s="22" t="s">
        <v>241</v>
      </c>
      <c r="C12" s="22" t="s">
        <v>242</v>
      </c>
      <c r="D12" s="22" t="s">
        <v>230</v>
      </c>
      <c r="E12" s="22" t="s">
        <v>243</v>
      </c>
    </row>
    <row r="13" customFormat="false" ht="23.85" hidden="false" customHeight="false" outlineLevel="0" collapsed="false">
      <c r="A13" s="14" t="n">
        <v>9</v>
      </c>
      <c r="B13" s="14" t="s">
        <v>244</v>
      </c>
      <c r="C13" s="14" t="s">
        <v>245</v>
      </c>
      <c r="D13" s="14" t="s">
        <v>230</v>
      </c>
      <c r="E13" s="14" t="s">
        <v>186</v>
      </c>
    </row>
    <row r="14" customFormat="false" ht="23.85" hidden="false" customHeight="false" outlineLevel="0" collapsed="false">
      <c r="A14" s="22" t="n">
        <v>10</v>
      </c>
      <c r="B14" s="22" t="s">
        <v>246</v>
      </c>
      <c r="C14" s="22" t="s">
        <v>247</v>
      </c>
      <c r="D14" s="22" t="s">
        <v>230</v>
      </c>
      <c r="E14" s="22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15" hidden="false" customHeight="false" outlineLevel="0" collapsed="false">
      <c r="A4" s="5" t="s">
        <v>214</v>
      </c>
      <c r="B4" s="5" t="s">
        <v>250</v>
      </c>
      <c r="C4" s="5" t="s">
        <v>251</v>
      </c>
      <c r="D4" s="5" t="s">
        <v>252</v>
      </c>
      <c r="E4" s="5" t="s">
        <v>59</v>
      </c>
    </row>
    <row r="5" customFormat="false" ht="23.85" hidden="false" customHeight="false" outlineLevel="0" collapsed="false">
      <c r="A5" s="14" t="n">
        <v>1</v>
      </c>
      <c r="B5" s="14" t="s">
        <v>253</v>
      </c>
      <c r="C5" s="14" t="s">
        <v>254</v>
      </c>
      <c r="D5" s="14" t="s">
        <v>255</v>
      </c>
      <c r="E5" s="38" t="s">
        <v>256</v>
      </c>
    </row>
    <row r="6" customFormat="false" ht="15" hidden="false" customHeight="false" outlineLevel="0" collapsed="false">
      <c r="A6" s="22" t="n">
        <v>2</v>
      </c>
      <c r="B6" s="22" t="s">
        <v>257</v>
      </c>
      <c r="C6" s="22" t="s">
        <v>254</v>
      </c>
      <c r="D6" s="22" t="s">
        <v>133</v>
      </c>
      <c r="E6" s="39" t="s">
        <v>256</v>
      </c>
    </row>
    <row r="7" customFormat="false" ht="15" hidden="false" customHeight="false" outlineLevel="0" collapsed="false">
      <c r="A7" s="14" t="n">
        <v>3</v>
      </c>
      <c r="B7" s="14" t="s">
        <v>258</v>
      </c>
      <c r="C7" s="14" t="s">
        <v>254</v>
      </c>
      <c r="D7" s="14" t="s">
        <v>259</v>
      </c>
      <c r="E7" s="38" t="s">
        <v>256</v>
      </c>
    </row>
    <row r="8" customFormat="false" ht="15" hidden="false" customHeight="false" outlineLevel="0" collapsed="false">
      <c r="A8" s="22" t="n">
        <v>4</v>
      </c>
      <c r="B8" s="22" t="s">
        <v>260</v>
      </c>
      <c r="C8" s="22" t="s">
        <v>254</v>
      </c>
      <c r="D8" s="22" t="s">
        <v>261</v>
      </c>
      <c r="E8" s="39" t="s">
        <v>256</v>
      </c>
    </row>
    <row r="9" customFormat="false" ht="15" hidden="false" customHeight="false" outlineLevel="0" collapsed="false">
      <c r="A9" s="14" t="n">
        <v>5</v>
      </c>
      <c r="B9" s="14" t="s">
        <v>262</v>
      </c>
      <c r="C9" s="14" t="s">
        <v>254</v>
      </c>
      <c r="D9" s="14" t="s">
        <v>263</v>
      </c>
      <c r="E9" s="38" t="s">
        <v>256</v>
      </c>
    </row>
    <row r="10" customFormat="false" ht="23.85" hidden="false" customHeight="false" outlineLevel="0" collapsed="false">
      <c r="A10" s="22" t="n">
        <v>6</v>
      </c>
      <c r="B10" s="22" t="s">
        <v>264</v>
      </c>
      <c r="C10" s="22" t="s">
        <v>265</v>
      </c>
      <c r="D10" s="22" t="s">
        <v>83</v>
      </c>
      <c r="E10" s="39" t="s">
        <v>256</v>
      </c>
    </row>
    <row r="11" customFormat="false" ht="23.85" hidden="false" customHeight="false" outlineLevel="0" collapsed="false">
      <c r="A11" s="14" t="n">
        <v>7</v>
      </c>
      <c r="B11" s="14" t="s">
        <v>266</v>
      </c>
      <c r="C11" s="14" t="s">
        <v>265</v>
      </c>
      <c r="D11" s="14" t="s">
        <v>267</v>
      </c>
      <c r="E11" s="38" t="s">
        <v>256</v>
      </c>
    </row>
    <row r="12" customFormat="false" ht="15" hidden="false" customHeight="false" outlineLevel="0" collapsed="false">
      <c r="A12" s="22" t="n">
        <v>8</v>
      </c>
      <c r="B12" s="22" t="s">
        <v>268</v>
      </c>
      <c r="C12" s="22" t="s">
        <v>265</v>
      </c>
      <c r="D12" s="22" t="s">
        <v>269</v>
      </c>
      <c r="E12" s="39" t="s">
        <v>270</v>
      </c>
    </row>
  </sheetData>
  <dataValidations count="1">
    <dataValidation allowBlank="false" errorStyle="stop" operator="between" showDropDown="false" showErrorMessage="false" showInputMessage="false" sqref="E5:E30" type="list">
      <formula1>"Open,In progress,Done,Parked"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2026-10-08T23:57:46Z</dcterms:created>
  <dc:creator>openpyxl</dc:creator>
  <dc:description/>
  <dc:language>en-US</dc:language>
  <cp:lastModifiedBy/>
  <dcterms:modified xsi:type="dcterms:W3CDTF">2026-10-08T23:57:46Z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